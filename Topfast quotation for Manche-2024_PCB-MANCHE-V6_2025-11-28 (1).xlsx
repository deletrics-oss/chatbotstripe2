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ightArcade-1\Desktop\"/>
    </mc:Choice>
  </mc:AlternateContent>
  <bookViews>
    <workbookView xWindow="0" yWindow="0" windowWidth="25125" windowHeight="12435"/>
  </bookViews>
  <sheets>
    <sheet name="报价单" sheetId="1" r:id="rId1"/>
  </sheets>
  <definedNames>
    <definedName name="_xlnm.Print_Area" localSheetId="0">报价单!$A$1:$U$28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I17" i="1"/>
  <c r="H17" i="1"/>
</calcChain>
</file>

<file path=xl/sharedStrings.xml><?xml version="1.0" encoding="utf-8"?>
<sst xmlns="http://schemas.openxmlformats.org/spreadsheetml/2006/main" count="63" uniqueCount="62">
  <si>
    <t>Quotation Sheet</t>
  </si>
  <si>
    <r>
      <rPr>
        <b/>
        <sz val="10"/>
        <rFont val="Arial"/>
        <charset val="134"/>
      </rPr>
      <t>To</t>
    </r>
    <r>
      <rPr>
        <b/>
        <sz val="10"/>
        <rFont val="宋体"/>
        <charset val="134"/>
      </rPr>
      <t>：</t>
    </r>
  </si>
  <si>
    <r>
      <rPr>
        <b/>
        <sz val="10"/>
        <rFont val="Arial"/>
        <charset val="134"/>
      </rPr>
      <t>From</t>
    </r>
    <r>
      <rPr>
        <b/>
        <sz val="10"/>
        <rFont val="宋体"/>
        <charset val="134"/>
      </rPr>
      <t>：</t>
    </r>
  </si>
  <si>
    <r>
      <rPr>
        <b/>
        <sz val="10"/>
        <rFont val="Arial"/>
        <charset val="134"/>
      </rPr>
      <t>Contact</t>
    </r>
    <r>
      <rPr>
        <b/>
        <sz val="10"/>
        <rFont val="微软雅黑"/>
        <charset val="134"/>
      </rPr>
      <t>：</t>
    </r>
  </si>
  <si>
    <t>ATTN：</t>
  </si>
  <si>
    <t xml:space="preserve">Tel:       </t>
  </si>
  <si>
    <t xml:space="preserve">Email:   </t>
  </si>
  <si>
    <r>
      <rPr>
        <b/>
        <sz val="10"/>
        <rFont val="Arial"/>
        <charset val="134"/>
      </rPr>
      <t>Date</t>
    </r>
    <r>
      <rPr>
        <b/>
        <sz val="10"/>
        <rFont val="宋体"/>
        <charset val="134"/>
      </rPr>
      <t>：</t>
    </r>
  </si>
  <si>
    <r>
      <rPr>
        <b/>
        <sz val="10"/>
        <rFont val="Arial"/>
        <charset val="134"/>
      </rPr>
      <t>Quotation No.</t>
    </r>
    <r>
      <rPr>
        <sz val="10"/>
        <rFont val="宋体"/>
        <charset val="134"/>
      </rPr>
      <t>：</t>
    </r>
    <r>
      <rPr>
        <sz val="10"/>
        <rFont val="Arial"/>
        <charset val="134"/>
      </rPr>
      <t xml:space="preserve">  </t>
    </r>
  </si>
  <si>
    <t>TF20251127015</t>
  </si>
  <si>
    <t>Product Basic Information</t>
  </si>
  <si>
    <r>
      <rPr>
        <b/>
        <sz val="10"/>
        <rFont val="Arial"/>
        <charset val="134"/>
      </rPr>
      <t>Material</t>
    </r>
    <r>
      <rPr>
        <b/>
        <sz val="10"/>
        <rFont val="宋体"/>
        <charset val="134"/>
      </rPr>
      <t>：</t>
    </r>
  </si>
  <si>
    <t>FR4</t>
  </si>
  <si>
    <r>
      <rPr>
        <b/>
        <sz val="10"/>
        <rFont val="Arial"/>
        <charset val="134"/>
      </rPr>
      <t>BoardThickness(mm)</t>
    </r>
    <r>
      <rPr>
        <sz val="10"/>
        <rFont val="宋体"/>
        <charset val="134"/>
      </rPr>
      <t>：</t>
    </r>
  </si>
  <si>
    <r>
      <rPr>
        <b/>
        <sz val="10"/>
        <rFont val="Arial"/>
        <charset val="134"/>
      </rPr>
      <t>Finished Cu (</t>
    </r>
    <r>
      <rPr>
        <b/>
        <sz val="10"/>
        <color rgb="FFFF0000"/>
        <rFont val="Arial"/>
        <charset val="134"/>
      </rPr>
      <t>OZ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：</t>
    </r>
  </si>
  <si>
    <t>1/1</t>
  </si>
  <si>
    <r>
      <rPr>
        <b/>
        <sz val="10"/>
        <rFont val="Arial"/>
        <charset val="134"/>
      </rPr>
      <t>Surface Treatment</t>
    </r>
    <r>
      <rPr>
        <b/>
        <sz val="10"/>
        <rFont val="宋体"/>
        <charset val="134"/>
      </rPr>
      <t>：</t>
    </r>
  </si>
  <si>
    <t>HASL</t>
  </si>
  <si>
    <r>
      <rPr>
        <b/>
        <sz val="10"/>
        <rFont val="Arial"/>
        <charset val="134"/>
      </rPr>
      <t>Solder Mask Color/Type</t>
    </r>
    <r>
      <rPr>
        <b/>
        <sz val="10"/>
        <rFont val="宋体"/>
        <charset val="134"/>
      </rPr>
      <t>：</t>
    </r>
  </si>
  <si>
    <t>Black</t>
  </si>
  <si>
    <t>Silkscreen Mask Color/Type:</t>
  </si>
  <si>
    <t>white</t>
  </si>
  <si>
    <r>
      <rPr>
        <b/>
        <sz val="10"/>
        <rFont val="Arial"/>
        <charset val="134"/>
      </rPr>
      <t>Min. Trace/space(mil)</t>
    </r>
    <r>
      <rPr>
        <b/>
        <sz val="10"/>
        <rFont val="宋体"/>
        <charset val="134"/>
      </rPr>
      <t>：</t>
    </r>
  </si>
  <si>
    <t>10/10+</t>
  </si>
  <si>
    <r>
      <rPr>
        <b/>
        <sz val="10"/>
        <rFont val="Arial"/>
        <charset val="134"/>
      </rPr>
      <t>Min. Holes(mm)</t>
    </r>
    <r>
      <rPr>
        <b/>
        <sz val="10"/>
        <rFont val="宋体"/>
        <charset val="134"/>
      </rPr>
      <t>：</t>
    </r>
  </si>
  <si>
    <t>Via Process</t>
  </si>
  <si>
    <t>Tenting Vias</t>
  </si>
  <si>
    <r>
      <rPr>
        <b/>
        <sz val="10"/>
        <rFont val="Arial"/>
        <charset val="134"/>
      </rPr>
      <t>Special Remarks</t>
    </r>
    <r>
      <rPr>
        <b/>
        <sz val="10"/>
        <rFont val="宋体"/>
        <charset val="134"/>
      </rPr>
      <t>：</t>
    </r>
  </si>
  <si>
    <t xml:space="preserve">1.不含运费、组装、测试及体积大、特小板、包装等特殊费用。
</t>
  </si>
  <si>
    <t xml:space="preserve"> </t>
  </si>
  <si>
    <t>Item</t>
  </si>
  <si>
    <t>Project name</t>
  </si>
  <si>
    <t>Layer</t>
  </si>
  <si>
    <t>Unit Size(mm)</t>
  </si>
  <si>
    <t>Array Size(mm)</t>
  </si>
  <si>
    <t>U/P</t>
  </si>
  <si>
    <t>Qty
(pcs)</t>
  </si>
  <si>
    <r>
      <rPr>
        <b/>
        <sz val="10"/>
        <rFont val="Arial"/>
        <charset val="134"/>
      </rPr>
      <t>Volume
(</t>
    </r>
    <r>
      <rPr>
        <b/>
        <sz val="10"/>
        <rFont val="宋体"/>
        <charset val="134"/>
      </rPr>
      <t>㎡）</t>
    </r>
  </si>
  <si>
    <t>Unit Price</t>
  </si>
  <si>
    <t>NRE Cost</t>
  </si>
  <si>
    <t>E-test  &amp;Tooling Cost</t>
  </si>
  <si>
    <t>Assembly
Cost</t>
  </si>
  <si>
    <t>Components Cost</t>
  </si>
  <si>
    <t>Antistatic bag</t>
  </si>
  <si>
    <t xml:space="preserve">Shipping 
Cost </t>
  </si>
  <si>
    <t>LeadTime
(WDS)</t>
  </si>
  <si>
    <t>Total</t>
  </si>
  <si>
    <t>1</t>
  </si>
  <si>
    <t>Gerber_Manche-2024_PCB-MANCHE-V6_2025-11-26</t>
  </si>
  <si>
    <r>
      <rPr>
        <b/>
        <sz val="10"/>
        <rFont val="Arial"/>
        <charset val="134"/>
      </rPr>
      <t>Remarks</t>
    </r>
    <r>
      <rPr>
        <b/>
        <sz val="10"/>
        <rFont val="微软雅黑"/>
        <charset val="134"/>
      </rPr>
      <t>：</t>
    </r>
    <r>
      <rPr>
        <b/>
        <sz val="10"/>
        <rFont val="Arial"/>
        <charset val="134"/>
      </rPr>
      <t xml:space="preserve"> </t>
    </r>
    <r>
      <rPr>
        <b/>
        <sz val="10"/>
        <color rgb="FF0070C0"/>
        <rFont val="Arial"/>
        <charset val="134"/>
      </rPr>
      <t>The quote is with EXW terms. No repeated E-test chargefor the same products in a 12 months order cycle.</t>
    </r>
  </si>
  <si>
    <t>***</t>
  </si>
  <si>
    <t>All other items NOT mentioned above, IPC-600K class II and IPC-6012E class2 standards will follow.</t>
  </si>
  <si>
    <r>
      <rPr>
        <b/>
        <i/>
        <sz val="10"/>
        <color indexed="8"/>
        <rFont val="Arial"/>
        <charset val="134"/>
      </rPr>
      <t>Important Notes</t>
    </r>
    <r>
      <rPr>
        <b/>
        <i/>
        <sz val="10"/>
        <color indexed="8"/>
        <rFont val="宋体"/>
        <charset val="134"/>
      </rPr>
      <t>：</t>
    </r>
  </si>
  <si>
    <t>Payment Terms: Payment in advance by T/T</t>
  </si>
  <si>
    <t>Working Days means from Monday to Friday (Chinese public holidays excluded)</t>
  </si>
  <si>
    <t>Lead Time means from the date of comfirming EQs to shipping date.</t>
  </si>
  <si>
    <t>All quotes are based upon documentations from the customer.</t>
  </si>
  <si>
    <t>Validity period for this quotation: 3 business days.</t>
  </si>
  <si>
    <t>LOOKING FORWARD TO RECEIVING YOUR ORDER SOON, AND HAVE A NICE DAY!</t>
  </si>
  <si>
    <t>Prepare:</t>
  </si>
  <si>
    <t xml:space="preserve">Approved: </t>
  </si>
  <si>
    <t>Baolan Electronic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</si>
</sst>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.00_);[Red]\(\$#,##0.00\)"/>
    <numFmt numFmtId="169" formatCode="0.00_ "/>
  </numFmts>
  <fonts count="23">
    <font>
      <sz val="12"/>
      <name val="宋体"/>
      <charset val="134"/>
    </font>
    <font>
      <b/>
      <sz val="20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b/>
      <sz val="10"/>
      <color indexed="10"/>
      <name val="宋体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b/>
      <sz val="10"/>
      <name val="Nirmala UI"/>
      <charset val="134"/>
    </font>
    <font>
      <b/>
      <sz val="12"/>
      <name val="Arial"/>
      <charset val="134"/>
    </font>
    <font>
      <b/>
      <sz val="10"/>
      <color rgb="FF00B0F0"/>
      <name val="Arial"/>
      <charset val="134"/>
    </font>
    <font>
      <b/>
      <sz val="10"/>
      <name val="Arial Unicode MS"/>
      <charset val="134"/>
    </font>
    <font>
      <sz val="12"/>
      <name val="Arial"/>
      <charset val="134"/>
    </font>
    <font>
      <b/>
      <i/>
      <sz val="10"/>
      <color indexed="8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b/>
      <i/>
      <sz val="10"/>
      <color indexed="8"/>
      <name val="宋体"/>
      <charset val="134"/>
    </font>
    <font>
      <b/>
      <sz val="10"/>
      <name val="微软雅黑"/>
      <charset val="134"/>
    </font>
    <font>
      <b/>
      <sz val="10"/>
      <color rgb="FF0070C0"/>
      <name val="Arial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110">
    <xf numFmtId="0" fontId="0" fillId="0" borderId="0" xfId="0">
      <alignment vertical="center"/>
    </xf>
    <xf numFmtId="0" fontId="2" fillId="0" borderId="18" xfId="0" applyFont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24" xfId="0" applyFont="1" applyBorder="1">
      <alignment vertical="center"/>
    </xf>
    <xf numFmtId="0" fontId="14" fillId="2" borderId="23" xfId="0" applyFont="1" applyFill="1" applyBorder="1" applyAlignment="1">
      <alignment horizontal="left"/>
    </xf>
    <xf numFmtId="49" fontId="15" fillId="2" borderId="0" xfId="0" applyNumberFormat="1" applyFont="1" applyFill="1" applyAlignment="1">
      <alignment horizontal="left"/>
    </xf>
    <xf numFmtId="0" fontId="15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49" fontId="15" fillId="2" borderId="24" xfId="0" applyNumberFormat="1" applyFont="1" applyFill="1" applyBorder="1" applyAlignment="1">
      <alignment horizontal="left"/>
    </xf>
    <xf numFmtId="0" fontId="15" fillId="2" borderId="23" xfId="0" applyFont="1" applyFill="1" applyBorder="1" applyAlignment="1">
      <alignment horizontal="center" vertical="top"/>
    </xf>
    <xf numFmtId="49" fontId="16" fillId="2" borderId="0" xfId="0" applyNumberFormat="1" applyFont="1" applyFill="1" applyAlignment="1">
      <alignment horizontal="left" vertical="top"/>
    </xf>
    <xf numFmtId="49" fontId="15" fillId="2" borderId="0" xfId="0" applyNumberFormat="1" applyFont="1" applyFill="1" applyAlignment="1">
      <alignment horizontal="left" vertical="top"/>
    </xf>
    <xf numFmtId="0" fontId="15" fillId="2" borderId="0" xfId="0" applyFont="1" applyFill="1" applyAlignment="1">
      <alignment horizontal="left" vertical="top"/>
    </xf>
    <xf numFmtId="49" fontId="15" fillId="2" borderId="24" xfId="0" applyNumberFormat="1" applyFont="1" applyFill="1" applyBorder="1" applyAlignment="1">
      <alignment horizontal="left" vertical="top"/>
    </xf>
    <xf numFmtId="0" fontId="17" fillId="2" borderId="23" xfId="0" applyFont="1" applyFill="1" applyBorder="1" applyAlignment="1">
      <alignment horizontal="center" vertical="top"/>
    </xf>
    <xf numFmtId="0" fontId="16" fillId="2" borderId="0" xfId="0" applyFont="1" applyFill="1" applyAlignment="1">
      <alignment vertical="top"/>
    </xf>
    <xf numFmtId="0" fontId="17" fillId="2" borderId="0" xfId="0" applyFont="1" applyFill="1" applyAlignment="1">
      <alignment vertical="top"/>
    </xf>
    <xf numFmtId="0" fontId="17" fillId="2" borderId="24" xfId="0" applyFont="1" applyFill="1" applyBorder="1" applyAlignment="1">
      <alignment vertical="top"/>
    </xf>
    <xf numFmtId="0" fontId="17" fillId="2" borderId="0" xfId="0" applyFont="1" applyFill="1" applyAlignment="1">
      <alignment horizontal="center" vertical="top"/>
    </xf>
    <xf numFmtId="0" fontId="2" fillId="0" borderId="25" xfId="0" applyFont="1" applyBorder="1">
      <alignment vertical="center"/>
    </xf>
    <xf numFmtId="0" fontId="2" fillId="0" borderId="26" xfId="0" applyFont="1" applyBorder="1">
      <alignment vertical="center"/>
    </xf>
    <xf numFmtId="49" fontId="15" fillId="2" borderId="26" xfId="0" applyNumberFormat="1" applyFont="1" applyFill="1" applyBorder="1" applyAlignment="1">
      <alignment horizontal="left" vertical="top"/>
    </xf>
    <xf numFmtId="0" fontId="15" fillId="2" borderId="26" xfId="0" applyFont="1" applyFill="1" applyBorder="1" applyAlignment="1">
      <alignment horizontal="left" vertical="top"/>
    </xf>
    <xf numFmtId="0" fontId="15" fillId="2" borderId="26" xfId="0" applyFont="1" applyFill="1" applyBorder="1" applyAlignment="1">
      <alignment horizontal="center" vertical="top"/>
    </xf>
    <xf numFmtId="49" fontId="15" fillId="2" borderId="27" xfId="0" applyNumberFormat="1" applyFont="1" applyFill="1" applyBorder="1" applyAlignment="1">
      <alignment horizontal="left" vertical="top"/>
    </xf>
    <xf numFmtId="0" fontId="15" fillId="2" borderId="23" xfId="0" quotePrefix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14" fontId="2" fillId="0" borderId="9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22" xfId="0" applyNumberFormat="1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center" wrapText="1"/>
    </xf>
    <xf numFmtId="169" fontId="3" fillId="0" borderId="10" xfId="0" applyNumberFormat="1" applyFont="1" applyBorder="1" applyAlignment="1">
      <alignment horizontal="left" vertical="center" wrapText="1"/>
    </xf>
    <xf numFmtId="169" fontId="3" fillId="0" borderId="12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0" fontId="6" fillId="0" borderId="19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left" vertical="center"/>
    </xf>
    <xf numFmtId="49" fontId="2" fillId="2" borderId="12" xfId="0" applyNumberFormat="1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left" vertical="center" wrapText="1"/>
    </xf>
    <xf numFmtId="49" fontId="2" fillId="2" borderId="10" xfId="0" applyNumberFormat="1" applyFont="1" applyFill="1" applyBorder="1" applyAlignment="1">
      <alignment horizontal="left" vertical="center" wrapText="1"/>
    </xf>
    <xf numFmtId="49" fontId="2" fillId="2" borderId="12" xfId="0" applyNumberFormat="1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</cellXfs>
  <cellStyles count="2">
    <cellStyle name="Normal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219075</xdr:colOff>
      <xdr:row>19</xdr:row>
      <xdr:rowOff>12700</xdr:rowOff>
    </xdr:from>
    <xdr:to>
      <xdr:col>15</xdr:col>
      <xdr:colOff>850265</xdr:colOff>
      <xdr:row>27</xdr:row>
      <xdr:rowOff>198755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5591175"/>
          <a:ext cx="1917065" cy="164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76200</xdr:colOff>
      <xdr:row>19</xdr:row>
      <xdr:rowOff>76200</xdr:rowOff>
    </xdr:from>
    <xdr:to>
      <xdr:col>18</xdr:col>
      <xdr:colOff>426085</xdr:colOff>
      <xdr:row>27</xdr:row>
      <xdr:rowOff>214630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5654675"/>
          <a:ext cx="1854835" cy="159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16</xdr:row>
      <xdr:rowOff>304800</xdr:rowOff>
    </xdr:to>
    <xdr:sp macro="" textlink="">
      <xdr:nvSpPr>
        <xdr:cNvPr id="1025" name="AutoShape 1" descr="Imagem gerada"/>
        <xdr:cNvSpPr>
          <a:spLocks noChangeAspect="1" noChangeArrowheads="1"/>
        </xdr:cNvSpPr>
      </xdr:nvSpPr>
      <xdr:spPr bwMode="auto">
        <a:xfrm>
          <a:off x="6238875" y="3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57151</xdr:rowOff>
        </xdr:from>
        <xdr:to>
          <xdr:col>1</xdr:col>
          <xdr:colOff>381000</xdr:colOff>
          <xdr:row>0</xdr:row>
          <xdr:rowOff>323851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8"/>
  <sheetViews>
    <sheetView tabSelected="1" workbookViewId="0">
      <selection activeCell="Y14" sqref="Y14"/>
    </sheetView>
  </sheetViews>
  <sheetFormatPr defaultColWidth="8.75" defaultRowHeight="14.25"/>
  <cols>
    <col min="1" max="1" width="4.625" customWidth="1"/>
    <col min="2" max="2" width="9.875" customWidth="1"/>
    <col min="3" max="3" width="15.25" customWidth="1"/>
    <col min="4" max="4" width="2" customWidth="1"/>
    <col min="5" max="5" width="5.125" customWidth="1"/>
    <col min="6" max="6" width="6.625" customWidth="1"/>
    <col min="7" max="7" width="6.5" customWidth="1"/>
    <col min="8" max="8" width="6.375" customWidth="1"/>
    <col min="9" max="9" width="5.875" customWidth="1"/>
    <col min="10" max="10" width="3.625" customWidth="1"/>
    <col min="11" max="11" width="8.125" customWidth="1"/>
    <col min="12" max="12" width="7.875" customWidth="1"/>
    <col min="13" max="13" width="8.375" customWidth="1"/>
    <col min="14" max="14" width="8.5" customWidth="1"/>
    <col min="15" max="15" width="8.375" customWidth="1"/>
    <col min="16" max="16" width="11.875" customWidth="1"/>
    <col min="17" max="17" width="11.5" customWidth="1"/>
    <col min="18" max="19" width="8.25" customWidth="1"/>
    <col min="20" max="20" width="9.5" customWidth="1"/>
    <col min="21" max="21" width="11.25" customWidth="1"/>
  </cols>
  <sheetData>
    <row r="1" spans="1:21" ht="27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40"/>
    </row>
    <row r="2" spans="1:21" ht="14.25" customHeight="1">
      <c r="A2" s="94" t="s">
        <v>1</v>
      </c>
      <c r="B2" s="95"/>
      <c r="C2" s="98"/>
      <c r="D2" s="99"/>
      <c r="E2" s="99"/>
      <c r="F2" s="99"/>
      <c r="G2" s="99"/>
      <c r="H2" s="99"/>
      <c r="I2" s="100"/>
      <c r="J2" s="90"/>
      <c r="K2" s="41" t="s">
        <v>2</v>
      </c>
      <c r="L2" s="42"/>
      <c r="M2" s="43"/>
      <c r="N2" s="41" t="s">
        <v>61</v>
      </c>
      <c r="O2" s="42"/>
      <c r="P2" s="42"/>
      <c r="Q2" s="42"/>
      <c r="R2" s="42"/>
      <c r="S2" s="42"/>
      <c r="T2" s="42"/>
      <c r="U2" s="44"/>
    </row>
    <row r="3" spans="1:21" ht="12" customHeight="1">
      <c r="A3" s="96"/>
      <c r="B3" s="97"/>
      <c r="C3" s="101"/>
      <c r="D3" s="102"/>
      <c r="E3" s="102"/>
      <c r="F3" s="102"/>
      <c r="G3" s="102"/>
      <c r="H3" s="102"/>
      <c r="I3" s="103"/>
      <c r="J3" s="91"/>
      <c r="K3" s="41" t="s">
        <v>3</v>
      </c>
      <c r="L3" s="42"/>
      <c r="M3" s="43"/>
      <c r="N3" s="41"/>
      <c r="O3" s="42"/>
      <c r="P3" s="42"/>
      <c r="Q3" s="42"/>
      <c r="R3" s="42"/>
      <c r="S3" s="42"/>
      <c r="T3" s="42"/>
      <c r="U3" s="44"/>
    </row>
    <row r="4" spans="1:21" ht="15" customHeight="1">
      <c r="A4" s="94" t="s">
        <v>4</v>
      </c>
      <c r="B4" s="95"/>
      <c r="C4" s="104"/>
      <c r="D4" s="105"/>
      <c r="E4" s="105"/>
      <c r="F4" s="105"/>
      <c r="G4" s="105"/>
      <c r="H4" s="105"/>
      <c r="I4" s="106"/>
      <c r="J4" s="91"/>
      <c r="K4" s="41" t="s">
        <v>5</v>
      </c>
      <c r="L4" s="42"/>
      <c r="M4" s="43"/>
      <c r="N4" s="41"/>
      <c r="O4" s="42"/>
      <c r="P4" s="42"/>
      <c r="Q4" s="42"/>
      <c r="R4" s="42"/>
      <c r="S4" s="42"/>
      <c r="T4" s="42"/>
      <c r="U4" s="44"/>
    </row>
    <row r="5" spans="1:21" ht="15" customHeight="1">
      <c r="A5" s="96"/>
      <c r="B5" s="97"/>
      <c r="C5" s="107"/>
      <c r="D5" s="108"/>
      <c r="E5" s="108"/>
      <c r="F5" s="108"/>
      <c r="G5" s="108"/>
      <c r="H5" s="108"/>
      <c r="I5" s="109"/>
      <c r="J5" s="91"/>
      <c r="K5" s="41" t="s">
        <v>6</v>
      </c>
      <c r="L5" s="42"/>
      <c r="M5" s="43"/>
      <c r="N5" s="41"/>
      <c r="O5" s="42"/>
      <c r="P5" s="42"/>
      <c r="Q5" s="42"/>
      <c r="R5" s="42"/>
      <c r="S5" s="42"/>
      <c r="T5" s="42"/>
      <c r="U5" s="44"/>
    </row>
    <row r="6" spans="1:21" ht="15" customHeight="1">
      <c r="A6" s="45" t="s">
        <v>7</v>
      </c>
      <c r="B6" s="46"/>
      <c r="C6" s="47">
        <v>45988</v>
      </c>
      <c r="D6" s="48"/>
      <c r="E6" s="48"/>
      <c r="F6" s="48"/>
      <c r="G6" s="48"/>
      <c r="H6" s="48"/>
      <c r="I6" s="49"/>
      <c r="J6" s="92"/>
      <c r="K6" s="41" t="s">
        <v>8</v>
      </c>
      <c r="L6" s="42"/>
      <c r="M6" s="43"/>
      <c r="N6" s="41" t="s">
        <v>9</v>
      </c>
      <c r="O6" s="42"/>
      <c r="P6" s="42"/>
      <c r="Q6" s="42"/>
      <c r="R6" s="42"/>
      <c r="S6" s="42"/>
      <c r="T6" s="42"/>
      <c r="U6" s="44"/>
    </row>
    <row r="7" spans="1:21" ht="9.75" customHeight="1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ht="15" customHeight="1">
      <c r="A8" s="53" t="s">
        <v>10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5"/>
    </row>
    <row r="9" spans="1:21" ht="15" customHeight="1">
      <c r="A9" s="1">
        <v>1</v>
      </c>
      <c r="B9" s="46" t="s">
        <v>11</v>
      </c>
      <c r="C9" s="46"/>
      <c r="D9" s="56" t="s">
        <v>12</v>
      </c>
      <c r="E9" s="57"/>
      <c r="F9" s="57"/>
      <c r="G9" s="57"/>
      <c r="H9" s="57"/>
      <c r="I9" s="57"/>
      <c r="J9" s="57"/>
      <c r="K9" s="58"/>
      <c r="L9" s="93"/>
      <c r="M9" s="59" t="s">
        <v>13</v>
      </c>
      <c r="N9" s="59"/>
      <c r="O9" s="59"/>
      <c r="P9" s="59"/>
      <c r="Q9" s="60">
        <v>1.6</v>
      </c>
      <c r="R9" s="60"/>
      <c r="S9" s="60"/>
      <c r="T9" s="60"/>
      <c r="U9" s="61"/>
    </row>
    <row r="10" spans="1:21" ht="15" customHeight="1">
      <c r="A10" s="1">
        <v>2</v>
      </c>
      <c r="B10" s="46" t="s">
        <v>14</v>
      </c>
      <c r="C10" s="46"/>
      <c r="D10" s="62" t="s">
        <v>15</v>
      </c>
      <c r="E10" s="63"/>
      <c r="F10" s="63"/>
      <c r="G10" s="63"/>
      <c r="H10" s="63"/>
      <c r="I10" s="63"/>
      <c r="J10" s="63"/>
      <c r="K10" s="64"/>
      <c r="L10" s="93"/>
      <c r="M10" s="59" t="s">
        <v>16</v>
      </c>
      <c r="N10" s="59"/>
      <c r="O10" s="59"/>
      <c r="P10" s="59"/>
      <c r="Q10" s="65" t="s">
        <v>17</v>
      </c>
      <c r="R10" s="65"/>
      <c r="S10" s="65"/>
      <c r="T10" s="65"/>
      <c r="U10" s="66"/>
    </row>
    <row r="11" spans="1:21" ht="15" customHeight="1">
      <c r="A11" s="1">
        <v>3</v>
      </c>
      <c r="B11" s="46" t="s">
        <v>18</v>
      </c>
      <c r="C11" s="46"/>
      <c r="D11" s="67" t="s">
        <v>19</v>
      </c>
      <c r="E11" s="68"/>
      <c r="F11" s="68"/>
      <c r="G11" s="68"/>
      <c r="H11" s="68"/>
      <c r="I11" s="68"/>
      <c r="J11" s="68"/>
      <c r="K11" s="69"/>
      <c r="L11" s="93"/>
      <c r="M11" s="59" t="s">
        <v>20</v>
      </c>
      <c r="N11" s="59"/>
      <c r="O11" s="59"/>
      <c r="P11" s="59"/>
      <c r="Q11" s="65" t="s">
        <v>21</v>
      </c>
      <c r="R11" s="65"/>
      <c r="S11" s="65"/>
      <c r="T11" s="65"/>
      <c r="U11" s="66"/>
    </row>
    <row r="12" spans="1:21" ht="15" customHeight="1">
      <c r="A12" s="1">
        <v>4</v>
      </c>
      <c r="B12" s="46" t="s">
        <v>22</v>
      </c>
      <c r="C12" s="46"/>
      <c r="D12" s="62" t="s">
        <v>23</v>
      </c>
      <c r="E12" s="63"/>
      <c r="F12" s="63"/>
      <c r="G12" s="63"/>
      <c r="H12" s="63"/>
      <c r="I12" s="63"/>
      <c r="J12" s="63"/>
      <c r="K12" s="64"/>
      <c r="L12" s="93"/>
      <c r="M12" s="59" t="s">
        <v>24</v>
      </c>
      <c r="N12" s="59"/>
      <c r="O12" s="59"/>
      <c r="P12" s="59"/>
      <c r="Q12" s="70">
        <v>0.30499999999999999</v>
      </c>
      <c r="R12" s="65"/>
      <c r="S12" s="65"/>
      <c r="T12" s="65"/>
      <c r="U12" s="66"/>
    </row>
    <row r="13" spans="1:21" ht="16.5" customHeight="1">
      <c r="A13" s="1">
        <v>5</v>
      </c>
      <c r="B13" s="41" t="s">
        <v>25</v>
      </c>
      <c r="C13" s="43"/>
      <c r="D13" s="71" t="s">
        <v>26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3"/>
    </row>
    <row r="14" spans="1:21" ht="48.75" customHeight="1">
      <c r="A14" s="1">
        <v>6</v>
      </c>
      <c r="B14" s="46" t="s">
        <v>27</v>
      </c>
      <c r="C14" s="46"/>
      <c r="D14" s="74" t="s">
        <v>28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6"/>
    </row>
    <row r="15" spans="1:21" ht="15" customHeight="1">
      <c r="A15" s="77" t="s">
        <v>29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9"/>
    </row>
    <row r="16" spans="1:21" ht="48.75" customHeight="1">
      <c r="A16" s="2" t="s">
        <v>30</v>
      </c>
      <c r="B16" s="80" t="s">
        <v>31</v>
      </c>
      <c r="C16" s="81"/>
      <c r="D16" s="82"/>
      <c r="E16" s="3" t="s">
        <v>32</v>
      </c>
      <c r="F16" s="80" t="s">
        <v>33</v>
      </c>
      <c r="G16" s="82"/>
      <c r="H16" s="80" t="s">
        <v>34</v>
      </c>
      <c r="I16" s="82"/>
      <c r="J16" s="3" t="s">
        <v>35</v>
      </c>
      <c r="K16" s="3" t="s">
        <v>36</v>
      </c>
      <c r="L16" s="3" t="s">
        <v>37</v>
      </c>
      <c r="M16" s="4" t="s">
        <v>38</v>
      </c>
      <c r="N16" s="4" t="s">
        <v>39</v>
      </c>
      <c r="O16" s="4" t="s">
        <v>40</v>
      </c>
      <c r="P16" s="5" t="s">
        <v>41</v>
      </c>
      <c r="Q16" s="4" t="s">
        <v>42</v>
      </c>
      <c r="R16" s="4" t="s">
        <v>43</v>
      </c>
      <c r="S16" s="4" t="s">
        <v>44</v>
      </c>
      <c r="T16" s="3" t="s">
        <v>45</v>
      </c>
      <c r="U16" s="6" t="s">
        <v>46</v>
      </c>
    </row>
    <row r="17" spans="1:21" ht="51.95" customHeight="1">
      <c r="A17" s="7" t="s">
        <v>47</v>
      </c>
      <c r="B17" s="83" t="s">
        <v>48</v>
      </c>
      <c r="C17" s="84"/>
      <c r="D17" s="85"/>
      <c r="E17" s="8">
        <v>2</v>
      </c>
      <c r="F17" s="9">
        <v>54.48</v>
      </c>
      <c r="G17" s="9">
        <v>46.4</v>
      </c>
      <c r="H17" s="9">
        <f>F17*2+10</f>
        <v>118.96</v>
      </c>
      <c r="I17" s="9">
        <f>G17*3</f>
        <v>139.19999999999999</v>
      </c>
      <c r="J17" s="8">
        <v>6</v>
      </c>
      <c r="K17" s="10">
        <v>3000</v>
      </c>
      <c r="L17" s="8">
        <v>8.2796160000000008</v>
      </c>
      <c r="M17" s="11">
        <v>0.27</v>
      </c>
      <c r="N17" s="11">
        <v>39.5</v>
      </c>
      <c r="O17" s="11">
        <v>0</v>
      </c>
      <c r="P17" s="11">
        <v>1443.48</v>
      </c>
      <c r="Q17" s="11">
        <v>2635.29</v>
      </c>
      <c r="R17" s="11"/>
      <c r="S17" s="11"/>
      <c r="T17" s="8">
        <v>19</v>
      </c>
      <c r="U17" s="12">
        <f>SUM(N17:S17)+M17*K17</f>
        <v>4928.2700000000004</v>
      </c>
    </row>
    <row r="18" spans="1:21" ht="51.95" customHeight="1">
      <c r="A18" s="7"/>
      <c r="B18" s="83"/>
      <c r="C18" s="84"/>
      <c r="D18" s="85"/>
      <c r="E18" s="8"/>
      <c r="F18" s="9"/>
      <c r="G18" s="9"/>
      <c r="H18" s="9"/>
      <c r="I18" s="9"/>
      <c r="J18" s="8"/>
      <c r="K18" s="10"/>
      <c r="L18" s="8"/>
      <c r="M18" s="11"/>
      <c r="N18" s="11"/>
      <c r="O18" s="11"/>
      <c r="P18" s="11"/>
      <c r="Q18" s="11"/>
      <c r="R18" s="11"/>
      <c r="S18" s="11"/>
      <c r="T18" s="8"/>
      <c r="U18" s="12"/>
    </row>
    <row r="19" spans="1:21" ht="23.25" customHeight="1">
      <c r="A19" s="86" t="s">
        <v>49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8"/>
    </row>
    <row r="20" spans="1:21" ht="13.5" customHeight="1">
      <c r="A20" s="13" t="s">
        <v>50</v>
      </c>
      <c r="B20" s="89" t="s">
        <v>51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14"/>
      <c r="U20" s="15"/>
    </row>
    <row r="21" spans="1:21" ht="13.5" customHeight="1">
      <c r="A21" s="16" t="s">
        <v>52</v>
      </c>
      <c r="B21" s="17"/>
      <c r="C21" s="17"/>
      <c r="D21" s="17"/>
      <c r="E21" s="17"/>
      <c r="F21" s="17"/>
      <c r="G21" s="17"/>
      <c r="H21" s="17"/>
      <c r="I21" s="17"/>
      <c r="J21" s="17"/>
      <c r="K21" s="18"/>
      <c r="L21" s="18"/>
      <c r="M21" s="19"/>
      <c r="N21" s="19"/>
      <c r="O21" s="19"/>
      <c r="P21" s="19"/>
      <c r="Q21" s="19"/>
      <c r="R21" s="19"/>
      <c r="S21" s="19"/>
      <c r="T21" s="18"/>
      <c r="U21" s="20"/>
    </row>
    <row r="22" spans="1:21" ht="13.5" customHeight="1">
      <c r="A22" s="37" t="s">
        <v>47</v>
      </c>
      <c r="B22" s="22" t="s">
        <v>53</v>
      </c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19"/>
      <c r="N22" s="19"/>
      <c r="O22" s="19"/>
      <c r="P22" s="19"/>
      <c r="Q22" s="19"/>
      <c r="R22" s="19"/>
      <c r="S22" s="19"/>
      <c r="T22" s="24"/>
      <c r="U22" s="25"/>
    </row>
    <row r="23" spans="1:21" ht="13.5" customHeight="1">
      <c r="A23" s="21">
        <v>2</v>
      </c>
      <c r="B23" s="22" t="s">
        <v>54</v>
      </c>
      <c r="C23" s="23"/>
      <c r="D23" s="23"/>
      <c r="E23" s="23"/>
      <c r="F23" s="23"/>
      <c r="G23" s="23"/>
      <c r="H23" s="23"/>
      <c r="I23" s="23"/>
      <c r="J23" s="23"/>
      <c r="K23" s="24"/>
      <c r="L23" s="24"/>
      <c r="M23" s="19"/>
      <c r="N23" s="19"/>
      <c r="O23" s="19"/>
      <c r="P23" s="19"/>
      <c r="Q23" s="19"/>
      <c r="R23" s="19"/>
      <c r="S23" s="19"/>
      <c r="T23" s="24"/>
      <c r="U23" s="25"/>
    </row>
    <row r="24" spans="1:21" ht="13.5" customHeight="1">
      <c r="A24" s="21">
        <v>3</v>
      </c>
      <c r="B24" s="22" t="s">
        <v>55</v>
      </c>
      <c r="C24" s="23"/>
      <c r="D24" s="23"/>
      <c r="E24" s="23"/>
      <c r="F24" s="23"/>
      <c r="G24" s="23"/>
      <c r="H24" s="23"/>
      <c r="I24" s="23"/>
      <c r="J24" s="23"/>
      <c r="K24" s="24"/>
      <c r="L24" s="24"/>
      <c r="M24" s="19"/>
      <c r="N24" s="19"/>
      <c r="O24" s="19"/>
      <c r="P24" s="19"/>
      <c r="Q24" s="19"/>
      <c r="R24" s="19"/>
      <c r="T24" s="24"/>
      <c r="U24" s="25"/>
    </row>
    <row r="25" spans="1:21" ht="13.5" customHeight="1">
      <c r="A25" s="26">
        <v>4</v>
      </c>
      <c r="B25" s="27" t="s">
        <v>56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9"/>
      <c r="N25" s="19"/>
      <c r="O25" s="19"/>
      <c r="P25" s="19"/>
      <c r="Q25" s="19"/>
      <c r="R25" s="19"/>
      <c r="S25" s="19"/>
      <c r="T25" s="28"/>
      <c r="U25" s="29"/>
    </row>
    <row r="26" spans="1:21" ht="20.100000000000001" customHeight="1">
      <c r="A26" s="26">
        <v>5</v>
      </c>
      <c r="B26" s="27" t="s">
        <v>57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N26" s="28"/>
      <c r="O26" s="28"/>
      <c r="P26" s="30"/>
      <c r="Q26" s="30"/>
      <c r="R26" s="30"/>
      <c r="S26" s="19"/>
      <c r="T26" s="28"/>
      <c r="U26" s="29"/>
    </row>
    <row r="27" spans="1:21" ht="13.5" customHeight="1">
      <c r="A27" s="16" t="s">
        <v>58</v>
      </c>
      <c r="B27" s="19"/>
      <c r="C27" s="19"/>
      <c r="D27" s="17"/>
      <c r="E27" s="17"/>
      <c r="F27" s="17"/>
      <c r="G27" s="17"/>
      <c r="H27" s="17"/>
      <c r="I27" s="17"/>
      <c r="J27" s="17"/>
      <c r="K27" s="17"/>
      <c r="L27" s="17"/>
      <c r="M27" s="18"/>
      <c r="N27" s="18"/>
      <c r="O27" s="18"/>
      <c r="P27" s="19"/>
      <c r="Q27" s="19"/>
      <c r="R27" s="19"/>
      <c r="T27" s="18"/>
      <c r="U27" s="20"/>
    </row>
    <row r="28" spans="1:21" ht="24.95" customHeight="1">
      <c r="A28" s="31" t="s">
        <v>59</v>
      </c>
      <c r="B28" s="32"/>
      <c r="C28" s="32"/>
      <c r="D28" s="33"/>
      <c r="E28" s="33"/>
      <c r="F28" s="33"/>
      <c r="G28" s="33"/>
      <c r="H28" s="33"/>
      <c r="I28" s="33"/>
      <c r="J28" s="33"/>
      <c r="K28" s="32" t="s">
        <v>60</v>
      </c>
      <c r="L28" s="32"/>
      <c r="M28" s="34"/>
      <c r="N28" s="34"/>
      <c r="O28" s="34"/>
      <c r="P28" s="35"/>
      <c r="Q28" s="35"/>
      <c r="R28" s="35"/>
      <c r="S28" s="35"/>
      <c r="T28" s="34"/>
      <c r="U28" s="36"/>
    </row>
  </sheetData>
  <mergeCells count="49">
    <mergeCell ref="B17:D17"/>
    <mergeCell ref="B18:D18"/>
    <mergeCell ref="A19:U19"/>
    <mergeCell ref="B20:S20"/>
    <mergeCell ref="J2:J6"/>
    <mergeCell ref="L9:L12"/>
    <mergeCell ref="A2:B3"/>
    <mergeCell ref="C2:I3"/>
    <mergeCell ref="A4:B5"/>
    <mergeCell ref="C4:I5"/>
    <mergeCell ref="B14:C14"/>
    <mergeCell ref="D14:U14"/>
    <mergeCell ref="A15:U15"/>
    <mergeCell ref="B16:D16"/>
    <mergeCell ref="F16:G16"/>
    <mergeCell ref="H16:I16"/>
    <mergeCell ref="B12:C12"/>
    <mergeCell ref="D12:K12"/>
    <mergeCell ref="M12:P12"/>
    <mergeCell ref="Q12:U12"/>
    <mergeCell ref="B13:C13"/>
    <mergeCell ref="D13:U13"/>
    <mergeCell ref="B10:C10"/>
    <mergeCell ref="D10:K10"/>
    <mergeCell ref="M10:P10"/>
    <mergeCell ref="Q10:U10"/>
    <mergeCell ref="B11:C11"/>
    <mergeCell ref="D11:K11"/>
    <mergeCell ref="M11:P11"/>
    <mergeCell ref="Q11:U11"/>
    <mergeCell ref="A7:U7"/>
    <mergeCell ref="A8:U8"/>
    <mergeCell ref="B9:C9"/>
    <mergeCell ref="D9:K9"/>
    <mergeCell ref="M9:P9"/>
    <mergeCell ref="Q9:U9"/>
    <mergeCell ref="K4:M4"/>
    <mergeCell ref="N4:U4"/>
    <mergeCell ref="K5:M5"/>
    <mergeCell ref="N5:U5"/>
    <mergeCell ref="A6:B6"/>
    <mergeCell ref="C6:I6"/>
    <mergeCell ref="K6:M6"/>
    <mergeCell ref="N6:U6"/>
    <mergeCell ref="A1:U1"/>
    <mergeCell ref="K2:M2"/>
    <mergeCell ref="N2:U2"/>
    <mergeCell ref="K3:M3"/>
    <mergeCell ref="N3:U3"/>
  </mergeCells>
  <printOptions horizontalCentered="1" verticalCentered="1"/>
  <pageMargins left="0.31496062992126" right="0.31496062992126" top="0.31496062992126" bottom="0.31496062992126" header="0.31496062992126" footer="0.31496062992126"/>
  <pageSetup paperSize="9" scale="76" orientation="landscape"/>
  <drawing r:id="rId1"/>
  <legacyDrawing r:id="rId2"/>
  <oleObjects>
    <mc:AlternateContent xmlns:mc="http://schemas.openxmlformats.org/markup-compatibility/2006">
      <mc:Choice Requires="x14">
        <oleObject progId="CorelDraw.Graphic.23" shapeId="1026" r:id="rId3">
          <objectPr defaultSize="0" autoPict="0" r:id="rId4">
            <anchor moveWithCells="1">
              <from>
                <xdr:col>0</xdr:col>
                <xdr:colOff>0</xdr:colOff>
                <xdr:row>0</xdr:row>
                <xdr:rowOff>57150</xdr:rowOff>
              </from>
              <to>
                <xdr:col>1</xdr:col>
                <xdr:colOff>381000</xdr:colOff>
                <xdr:row>0</xdr:row>
                <xdr:rowOff>323850</xdr:rowOff>
              </to>
            </anchor>
          </objectPr>
        </oleObject>
      </mc:Choice>
      <mc:Fallback>
        <oleObject progId="CorelDraw.Graphic.23" shapeId="1026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报价单</vt:lpstr>
      <vt:lpstr>报价单!Area_de_impressao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FightArcade-1</cp:lastModifiedBy>
  <dcterms:created xsi:type="dcterms:W3CDTF">2020-11-09T12:01:00Z</dcterms:created>
  <dcterms:modified xsi:type="dcterms:W3CDTF">2025-11-29T01:23:05Z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D1C3BBD522C845F9A2E5A769D694D4E6_12</vt:lpwstr>
  </property>
</Properties>
</file>